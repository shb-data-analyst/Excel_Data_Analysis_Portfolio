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hidePivotFieldList="1"/>
  <mc:AlternateContent xmlns:mc="http://schemas.openxmlformats.org/markup-compatibility/2006">
    <mc:Choice Requires="x15">
      <x15ac:absPath xmlns:x15ac="http://schemas.microsoft.com/office/spreadsheetml/2010/11/ac" url="C:\Users\bshik\OneDrive\Desktop\Freelance\Data Analysis\Project-2\"/>
    </mc:Choice>
  </mc:AlternateContent>
  <xr:revisionPtr revIDLastSave="0" documentId="13_ncr:1_{12BB4B14-7DC3-4912-B4EC-ECFA86CF5D7B}" xr6:coauthVersionLast="47" xr6:coauthVersionMax="47" xr10:uidLastSave="{00000000-0000-0000-0000-000000000000}"/>
  <bookViews>
    <workbookView xWindow="11424" yWindow="0" windowWidth="11712" windowHeight="12336" firstSheet="1" activeTab="1" xr2:uid="{00000000-000D-0000-FFFF-FFFF00000000}"/>
  </bookViews>
  <sheets>
    <sheet name="Pivot_Chart" sheetId="2" r:id="rId1"/>
    <sheet name="Pivot_Table" sheetId="4" r:id="rId2"/>
    <sheet name="Pivot_Donut" sheetId="5" r:id="rId3"/>
    <sheet name="Dashboard" sheetId="6" r:id="rId4"/>
    <sheet name="Data" sheetId="1" r:id="rId5"/>
    <sheet name="Insights" sheetId="7" r:id="rId6"/>
  </sheets>
  <definedNames>
    <definedName name="Slicer_Category">#N/A</definedName>
  </definedNames>
  <calcPr calcId="191029"/>
  <pivotCaches>
    <pivotCache cacheId="5"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2" i="1"/>
</calcChain>
</file>

<file path=xl/sharedStrings.xml><?xml version="1.0" encoding="utf-8"?>
<sst xmlns="http://schemas.openxmlformats.org/spreadsheetml/2006/main" count="105" uniqueCount="55">
  <si>
    <t>Date</t>
  </si>
  <si>
    <t>Category</t>
  </si>
  <si>
    <t>Descrption</t>
  </si>
  <si>
    <t>Budget</t>
  </si>
  <si>
    <t>Actual</t>
  </si>
  <si>
    <t>Rent</t>
  </si>
  <si>
    <t>Groceries</t>
  </si>
  <si>
    <t>Transport</t>
  </si>
  <si>
    <t>Entertainment</t>
  </si>
  <si>
    <t>Shopping</t>
  </si>
  <si>
    <t>Utilities</t>
  </si>
  <si>
    <t>January Rent</t>
  </si>
  <si>
    <t>Vegetables and fruits</t>
  </si>
  <si>
    <t>Fuel</t>
  </si>
  <si>
    <t>Electricity Bill</t>
  </si>
  <si>
    <t>Movie night</t>
  </si>
  <si>
    <t>Clothing</t>
  </si>
  <si>
    <t>Supermarket Shopping</t>
  </si>
  <si>
    <t>Cab and bus</t>
  </si>
  <si>
    <t>Water Bill</t>
  </si>
  <si>
    <t>Dining out</t>
  </si>
  <si>
    <t>Online shopping</t>
  </si>
  <si>
    <t>Monthly ration</t>
  </si>
  <si>
    <t>Fuel refill</t>
  </si>
  <si>
    <t>Internet Bill</t>
  </si>
  <si>
    <t>Weekend outing</t>
  </si>
  <si>
    <t>Footwear</t>
  </si>
  <si>
    <t>Dairy and snacks</t>
  </si>
  <si>
    <t>Metro recharge</t>
  </si>
  <si>
    <t>Gas cylinder</t>
  </si>
  <si>
    <t>Streaming subscrption</t>
  </si>
  <si>
    <t>Accessories</t>
  </si>
  <si>
    <t>Fruits and vegetables</t>
  </si>
  <si>
    <t>Cab charges</t>
  </si>
  <si>
    <t>Maintenance charges</t>
  </si>
  <si>
    <t>Family dinner</t>
  </si>
  <si>
    <t>Home items</t>
  </si>
  <si>
    <t>Weekly groceries</t>
  </si>
  <si>
    <t>Electricity adjustment</t>
  </si>
  <si>
    <t>Event tickets</t>
  </si>
  <si>
    <t>Variance</t>
  </si>
  <si>
    <t>Row Labels</t>
  </si>
  <si>
    <t>Grand Total</t>
  </si>
  <si>
    <t>Sum of Actual</t>
  </si>
  <si>
    <t>Sum of Variance</t>
  </si>
  <si>
    <t>Sum of Budget</t>
  </si>
  <si>
    <t>Total Budget</t>
  </si>
  <si>
    <t>Total Actual</t>
  </si>
  <si>
    <t>Net Variance</t>
  </si>
  <si>
    <t>Insights</t>
  </si>
  <si>
    <t>1. Groceries and Shopping contribute the highest share of expenses.</t>
  </si>
  <si>
    <t>2. Overall spending exceeded the planned budget for the month.</t>
  </si>
  <si>
    <t>5. Budget control opportunities exist in discretionary categories.</t>
  </si>
  <si>
    <t>4. Entertainment and shopping shows frequent overspending.</t>
  </si>
  <si>
    <t>3. Utilities and transport remained mostly within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</si>
</sst>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0" fontId="0" fillId="0" borderId="1" xfId="0" applyBorder="1" applyAlignment="1">
      <alignment horizontal="center"/>
    </xf>
    <xf numFmtId="0" fontId="1" fillId="2" borderId="1" xfId="0" applyNumberFormat="1" applyFont="1" applyFill="1" applyBorder="1" applyAlignment="1">
      <alignment horizontal="center"/>
    </xf>
    <xf numFmtId="0" fontId="1" fillId="0" borderId="0" xfId="0" applyFont="1"/>
  </cellXfs>
  <cellStyles count="1">
    <cellStyle name="Normal" xfId="0" builtinId="0"/>
  </cellStyles>
  <dxfs count="8">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[Expense_Budget_Dashboard.xlsx]Pivot_Chart!PivotTable1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Budget</a:t>
            </a:r>
            <a:r>
              <a:rPr lang="en-IN" baseline="0"/>
              <a:t> vs actual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Pivot_Chart!$B$3</c:f>
              <c:strCache>
                <c:ptCount val="1"/>
                <c:pt idx="0">
                  <c:v>Sum of Actual</c:v>
                </c:pt>
              </c:strCache>
            </c:strRef>
          </c:tx>
          <c:spPr>
            <a:solidFill>
              <a:schemeClr val="accent1"/>
            </a:solidFill>
            <a:ln>
              <a:noFill/>
            </a:ln>
            <a:effectLst/>
          </c:spPr>
          <c:invertIfNegative val="0"/>
          <c:cat>
            <c:strRef>
              <c:f>Pivot_Chart!$A$4:$A$10</c:f>
              <c:strCache>
                <c:ptCount val="6"/>
                <c:pt idx="0">
                  <c:v>Entertainment</c:v>
                </c:pt>
                <c:pt idx="1">
                  <c:v>Groceries</c:v>
                </c:pt>
                <c:pt idx="2">
                  <c:v>Rent</c:v>
                </c:pt>
                <c:pt idx="3">
                  <c:v>Shopping</c:v>
                </c:pt>
                <c:pt idx="4">
                  <c:v>Transport</c:v>
                </c:pt>
                <c:pt idx="5">
                  <c:v>Utilities</c:v>
                </c:pt>
              </c:strCache>
            </c:strRef>
          </c:cat>
          <c:val>
            <c:numRef>
              <c:f>Pivot_Chart!$B$4:$B$10</c:f>
              <c:numCache>
                <c:formatCode>#,##0</c:formatCode>
                <c:ptCount val="6"/>
                <c:pt idx="0">
                  <c:v>14000</c:v>
                </c:pt>
                <c:pt idx="1">
                  <c:v>19500</c:v>
                </c:pt>
                <c:pt idx="2">
                  <c:v>15000</c:v>
                </c:pt>
                <c:pt idx="3">
                  <c:v>16000</c:v>
                </c:pt>
                <c:pt idx="4">
                  <c:v>9700</c:v>
                </c:pt>
                <c:pt idx="5">
                  <c:v>9550</c:v>
                </c:pt>
              </c:numCache>
            </c:numRef>
          </c:val>
          <c:extLst>
            <c:ext xmlns:c16="http://schemas.microsoft.com/office/drawing/2014/chart" uri="{C3380CC4-5D6E-409C-BE32-E72D297353CC}">
              <c16:uniqueId val="{00000000-6BDB-45D8-8FC1-3674DCCD75B1}"/>
            </c:ext>
          </c:extLst>
        </c:ser>
        <c:ser>
          <c:idx val="1"/>
          <c:order val="1"/>
          <c:tx>
            <c:strRef>
              <c:f>Pivot_Chart!$C$3</c:f>
              <c:strCache>
                <c:ptCount val="1"/>
                <c:pt idx="0">
                  <c:v>Sum of Budget</c:v>
                </c:pt>
              </c:strCache>
            </c:strRef>
          </c:tx>
          <c:spPr>
            <a:solidFill>
              <a:schemeClr val="accent2"/>
            </a:solidFill>
            <a:ln>
              <a:noFill/>
            </a:ln>
            <a:effectLst/>
          </c:spPr>
          <c:invertIfNegative val="0"/>
          <c:cat>
            <c:strRef>
              <c:f>Pivot_Chart!$A$4:$A$10</c:f>
              <c:strCache>
                <c:ptCount val="6"/>
                <c:pt idx="0">
                  <c:v>Entertainment</c:v>
                </c:pt>
                <c:pt idx="1">
                  <c:v>Groceries</c:v>
                </c:pt>
                <c:pt idx="2">
                  <c:v>Rent</c:v>
                </c:pt>
                <c:pt idx="3">
                  <c:v>Shopping</c:v>
                </c:pt>
                <c:pt idx="4">
                  <c:v>Transport</c:v>
                </c:pt>
                <c:pt idx="5">
                  <c:v>Utilities</c:v>
                </c:pt>
              </c:strCache>
            </c:strRef>
          </c:cat>
          <c:val>
            <c:numRef>
              <c:f>Pivot_Chart!$C$4:$C$10</c:f>
              <c:numCache>
                <c:formatCode>#,##0</c:formatCode>
                <c:ptCount val="6"/>
                <c:pt idx="0">
                  <c:v>10300</c:v>
                </c:pt>
                <c:pt idx="1">
                  <c:v>17500</c:v>
                </c:pt>
                <c:pt idx="2">
                  <c:v>15000</c:v>
                </c:pt>
                <c:pt idx="3">
                  <c:v>11800</c:v>
                </c:pt>
                <c:pt idx="4">
                  <c:v>9500</c:v>
                </c:pt>
                <c:pt idx="5">
                  <c:v>9200</c:v>
                </c:pt>
              </c:numCache>
            </c:numRef>
          </c:val>
          <c:extLst>
            <c:ext xmlns:c16="http://schemas.microsoft.com/office/drawing/2014/chart" uri="{C3380CC4-5D6E-409C-BE32-E72D297353CC}">
              <c16:uniqueId val="{00000001-6BDB-45D8-8FC1-3674DCCD75B1}"/>
            </c:ext>
          </c:extLst>
        </c:ser>
        <c:dLbls>
          <c:showLegendKey val="0"/>
          <c:showVal val="0"/>
          <c:showCatName val="0"/>
          <c:showSerName val="0"/>
          <c:showPercent val="0"/>
          <c:showBubbleSize val="0"/>
        </c:dLbls>
        <c:gapWidth val="219"/>
        <c:overlap val="-27"/>
        <c:axId val="580087056"/>
        <c:axId val="580087536"/>
      </c:barChart>
      <c:catAx>
        <c:axId val="58008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87536"/>
        <c:crosses val="autoZero"/>
        <c:auto val="1"/>
        <c:lblAlgn val="ctr"/>
        <c:lblOffset val="100"/>
        <c:noMultiLvlLbl val="0"/>
      </c:catAx>
      <c:valAx>
        <c:axId val="5800875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87056"/>
        <c:crosses val="autoZero"/>
        <c:crossBetween val="between"/>
        <c:dispUnits>
          <c:builtInUnit val="thousands"/>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Money (in Thousands)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[Expense_Budget_Dashboard.xlsx]Pivot_Donut!PivotTable3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Actual</a:t>
            </a:r>
            <a:r>
              <a:rPr lang="en-IN" baseline="0"/>
              <a:t> Spend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Pivot_Donut!$B$3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Pivot_Donut!$A$4:$A$10</c:f>
              <c:strCache>
                <c:ptCount val="6"/>
                <c:pt idx="0">
                  <c:v>Entertainment</c:v>
                </c:pt>
                <c:pt idx="1">
                  <c:v>Groceries</c:v>
                </c:pt>
                <c:pt idx="2">
                  <c:v>Rent</c:v>
                </c:pt>
                <c:pt idx="3">
                  <c:v>Shopping</c:v>
                </c:pt>
                <c:pt idx="4">
                  <c:v>Transport</c:v>
                </c:pt>
                <c:pt idx="5">
                  <c:v>Utilities</c:v>
                </c:pt>
              </c:strCache>
            </c:strRef>
          </c:cat>
          <c:val>
            <c:numRef>
              <c:f>Pivot_Donut!$B$4:$B$10</c:f>
              <c:numCache>
                <c:formatCode>General</c:formatCode>
                <c:ptCount val="6"/>
                <c:pt idx="0">
                  <c:v>14000</c:v>
                </c:pt>
                <c:pt idx="1">
                  <c:v>19500</c:v>
                </c:pt>
                <c:pt idx="2">
                  <c:v>15000</c:v>
                </c:pt>
                <c:pt idx="3">
                  <c:v>16000</c:v>
                </c:pt>
                <c:pt idx="4">
                  <c:v>9700</c:v>
                </c:pt>
                <c:pt idx="5">
                  <c:v>9550</c:v>
                </c:pt>
              </c:numCache>
            </c:numRef>
          </c:val>
          <c:extLst>
            <c:ext xmlns:c16="http://schemas.microsoft.com/office/drawing/2014/chart" uri="{C3380CC4-5D6E-409C-BE32-E72D297353CC}">
              <c16:uniqueId val="{00000000-F97C-47D4-858A-5F077AD0DEF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[Expense_Budget_Dashboard.xlsx]Pivot_Chart!PivotTable1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Budget</a:t>
            </a:r>
            <a:r>
              <a:rPr lang="en-IN" baseline="0"/>
              <a:t> vs actual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Pivot_Chart!$B$3</c:f>
              <c:strCache>
                <c:ptCount val="1"/>
                <c:pt idx="0">
                  <c:v>Sum of Actual</c:v>
                </c:pt>
              </c:strCache>
            </c:strRef>
          </c:tx>
          <c:spPr>
            <a:solidFill>
              <a:schemeClr val="accent1"/>
            </a:solidFill>
            <a:ln>
              <a:noFill/>
            </a:ln>
            <a:effectLst/>
          </c:spPr>
          <c:invertIfNegative val="0"/>
          <c:cat>
            <c:strRef>
              <c:f>Pivot_Chart!$A$4:$A$10</c:f>
              <c:strCache>
                <c:ptCount val="6"/>
                <c:pt idx="0">
                  <c:v>Entertainment</c:v>
                </c:pt>
                <c:pt idx="1">
                  <c:v>Groceries</c:v>
                </c:pt>
                <c:pt idx="2">
                  <c:v>Rent</c:v>
                </c:pt>
                <c:pt idx="3">
                  <c:v>Shopping</c:v>
                </c:pt>
                <c:pt idx="4">
                  <c:v>Transport</c:v>
                </c:pt>
                <c:pt idx="5">
                  <c:v>Utilities</c:v>
                </c:pt>
              </c:strCache>
            </c:strRef>
          </c:cat>
          <c:val>
            <c:numRef>
              <c:f>Pivot_Chart!$B$4:$B$10</c:f>
              <c:numCache>
                <c:formatCode>#,##0</c:formatCode>
                <c:ptCount val="6"/>
                <c:pt idx="0">
                  <c:v>14000</c:v>
                </c:pt>
                <c:pt idx="1">
                  <c:v>19500</c:v>
                </c:pt>
                <c:pt idx="2">
                  <c:v>15000</c:v>
                </c:pt>
                <c:pt idx="3">
                  <c:v>16000</c:v>
                </c:pt>
                <c:pt idx="4">
                  <c:v>9700</c:v>
                </c:pt>
                <c:pt idx="5">
                  <c:v>9550</c:v>
                </c:pt>
              </c:numCache>
            </c:numRef>
          </c:val>
          <c:extLst>
            <c:ext xmlns:c16="http://schemas.microsoft.com/office/drawing/2014/chart" uri="{C3380CC4-5D6E-409C-BE32-E72D297353CC}">
              <c16:uniqueId val="{00000000-7E27-4E36-8BDB-63A07271A3FB}"/>
            </c:ext>
          </c:extLst>
        </c:ser>
        <c:ser>
          <c:idx val="1"/>
          <c:order val="1"/>
          <c:tx>
            <c:strRef>
              <c:f>Pivot_Chart!$C$3</c:f>
              <c:strCache>
                <c:ptCount val="1"/>
                <c:pt idx="0">
                  <c:v>Sum of Budget</c:v>
                </c:pt>
              </c:strCache>
            </c:strRef>
          </c:tx>
          <c:spPr>
            <a:solidFill>
              <a:schemeClr val="accent2"/>
            </a:solidFill>
            <a:ln>
              <a:noFill/>
            </a:ln>
            <a:effectLst/>
          </c:spPr>
          <c:invertIfNegative val="0"/>
          <c:cat>
            <c:strRef>
              <c:f>Pivot_Chart!$A$4:$A$10</c:f>
              <c:strCache>
                <c:ptCount val="6"/>
                <c:pt idx="0">
                  <c:v>Entertainment</c:v>
                </c:pt>
                <c:pt idx="1">
                  <c:v>Groceries</c:v>
                </c:pt>
                <c:pt idx="2">
                  <c:v>Rent</c:v>
                </c:pt>
                <c:pt idx="3">
                  <c:v>Shopping</c:v>
                </c:pt>
                <c:pt idx="4">
                  <c:v>Transport</c:v>
                </c:pt>
                <c:pt idx="5">
                  <c:v>Utilities</c:v>
                </c:pt>
              </c:strCache>
            </c:strRef>
          </c:cat>
          <c:val>
            <c:numRef>
              <c:f>Pivot_Chart!$C$4:$C$10</c:f>
              <c:numCache>
                <c:formatCode>#,##0</c:formatCode>
                <c:ptCount val="6"/>
                <c:pt idx="0">
                  <c:v>10300</c:v>
                </c:pt>
                <c:pt idx="1">
                  <c:v>17500</c:v>
                </c:pt>
                <c:pt idx="2">
                  <c:v>15000</c:v>
                </c:pt>
                <c:pt idx="3">
                  <c:v>11800</c:v>
                </c:pt>
                <c:pt idx="4">
                  <c:v>9500</c:v>
                </c:pt>
                <c:pt idx="5">
                  <c:v>9200</c:v>
                </c:pt>
              </c:numCache>
            </c:numRef>
          </c:val>
          <c:extLst>
            <c:ext xmlns:c16="http://schemas.microsoft.com/office/drawing/2014/chart" uri="{C3380CC4-5D6E-409C-BE32-E72D297353CC}">
              <c16:uniqueId val="{00000001-7E27-4E36-8BDB-63A07271A3FB}"/>
            </c:ext>
          </c:extLst>
        </c:ser>
        <c:dLbls>
          <c:showLegendKey val="0"/>
          <c:showVal val="0"/>
          <c:showCatName val="0"/>
          <c:showSerName val="0"/>
          <c:showPercent val="0"/>
          <c:showBubbleSize val="0"/>
        </c:dLbls>
        <c:gapWidth val="219"/>
        <c:overlap val="-27"/>
        <c:axId val="580087056"/>
        <c:axId val="580087536"/>
      </c:barChart>
      <c:catAx>
        <c:axId val="58008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87536"/>
        <c:crosses val="autoZero"/>
        <c:auto val="1"/>
        <c:lblAlgn val="ctr"/>
        <c:lblOffset val="100"/>
        <c:noMultiLvlLbl val="0"/>
      </c:catAx>
      <c:valAx>
        <c:axId val="5800875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08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[Expense_Budget_Dashboard.xlsx]Pivot_Donut!PivotTable3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Actual</a:t>
            </a:r>
            <a:r>
              <a:rPr lang="en-IN" baseline="0"/>
              <a:t> Spend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Pivot_Donut!$B$3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BD-4707-949E-F43532E49D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BD-4707-949E-F43532E49D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BD-4707-949E-F43532E49D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BD-4707-949E-F43532E49DD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1BD-4707-949E-F43532E49DD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1BD-4707-949E-F43532E49D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Pivot_Donut!$A$4:$A$10</c:f>
              <c:strCache>
                <c:ptCount val="6"/>
                <c:pt idx="0">
                  <c:v>Entertainment</c:v>
                </c:pt>
                <c:pt idx="1">
                  <c:v>Groceries</c:v>
                </c:pt>
                <c:pt idx="2">
                  <c:v>Rent</c:v>
                </c:pt>
                <c:pt idx="3">
                  <c:v>Shopping</c:v>
                </c:pt>
                <c:pt idx="4">
                  <c:v>Transport</c:v>
                </c:pt>
                <c:pt idx="5">
                  <c:v>Utilities</c:v>
                </c:pt>
              </c:strCache>
            </c:strRef>
          </c:cat>
          <c:val>
            <c:numRef>
              <c:f>Pivot_Donut!$B$4:$B$10</c:f>
              <c:numCache>
                <c:formatCode>General</c:formatCode>
                <c:ptCount val="6"/>
                <c:pt idx="0">
                  <c:v>14000</c:v>
                </c:pt>
                <c:pt idx="1">
                  <c:v>19500</c:v>
                </c:pt>
                <c:pt idx="2">
                  <c:v>15000</c:v>
                </c:pt>
                <c:pt idx="3">
                  <c:v>16000</c:v>
                </c:pt>
                <c:pt idx="4">
                  <c:v>9700</c:v>
                </c:pt>
                <c:pt idx="5">
                  <c:v>9550</c:v>
                </c:pt>
              </c:numCache>
            </c:numRef>
          </c:val>
          <c:extLst>
            <c:ext xmlns:c16="http://schemas.microsoft.com/office/drawing/2014/chart" uri="{C3380CC4-5D6E-409C-BE32-E72D297353CC}">
              <c16:uniqueId val="{0000000C-51BD-4707-949E-F43532E49DD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91440</xdr:colOff>
      <xdr:row>10</xdr:row>
      <xdr:rowOff>91440</xdr:rowOff>
    </xdr:from>
    <xdr:to>
      <xdr:col>5</xdr:col>
      <xdr:colOff>358140</xdr:colOff>
      <xdr:row>25</xdr:row>
      <xdr:rowOff>91440</xdr:rowOff>
    </xdr:to>
    <xdr:graphicFrame macro="">
      <xdr:nvGraphicFramePr>
        <xdr:cNvPr id="3" name="Chart 2">
          <a:extLst>
            <a:ext uri="{FF2B5EF4-FFF2-40B4-BE49-F238E27FC236}">
              <a16:creationId xmlns:a16="http://schemas.microsoft.com/office/drawing/2014/main" id="{2C6C4A2C-81A2-C98C-6437-46D86B7AA7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137160</xdr:colOff>
      <xdr:row>10</xdr:row>
      <xdr:rowOff>64770</xdr:rowOff>
    </xdr:from>
    <xdr:to>
      <xdr:col>6</xdr:col>
      <xdr:colOff>525780</xdr:colOff>
      <xdr:row>25</xdr:row>
      <xdr:rowOff>64770</xdr:rowOff>
    </xdr:to>
    <xdr:graphicFrame macro="">
      <xdr:nvGraphicFramePr>
        <xdr:cNvPr id="3" name="Chart 2">
          <a:extLst>
            <a:ext uri="{FF2B5EF4-FFF2-40B4-BE49-F238E27FC236}">
              <a16:creationId xmlns:a16="http://schemas.microsoft.com/office/drawing/2014/main" id="{AC6DC292-0A68-2C62-D597-D28700F08E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3</xdr:row>
      <xdr:rowOff>158959</xdr:rowOff>
    </xdr:from>
    <xdr:to>
      <xdr:col>7</xdr:col>
      <xdr:colOff>106680</xdr:colOff>
      <xdr:row>18</xdr:row>
      <xdr:rowOff>158959</xdr:rowOff>
    </xdr:to>
    <xdr:graphicFrame macro="">
      <xdr:nvGraphicFramePr>
        <xdr:cNvPr id="2" name="Chart 1">
          <a:extLst>
            <a:ext uri="{FF2B5EF4-FFF2-40B4-BE49-F238E27FC236}">
              <a16:creationId xmlns:a16="http://schemas.microsoft.com/office/drawing/2014/main" id="{A5D76303-E48A-44D6-91E7-37BE48303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54498</xdr:colOff>
      <xdr:row>19</xdr:row>
      <xdr:rowOff>70123</xdr:rowOff>
    </xdr:from>
    <xdr:to>
      <xdr:col>7</xdr:col>
      <xdr:colOff>147095</xdr:colOff>
      <xdr:row>34</xdr:row>
      <xdr:rowOff>70124</xdr:rowOff>
    </xdr:to>
    <xdr:graphicFrame macro="">
      <xdr:nvGraphicFramePr>
        <xdr:cNvPr id="3" name="Chart 2">
          <a:extLst>
            <a:ext uri="{FF2B5EF4-FFF2-40B4-BE49-F238E27FC236}">
              <a16:creationId xmlns:a16="http://schemas.microsoft.com/office/drawing/2014/main" id="{4505CB34-BDC7-4D1E-AC0C-B8CBEEC90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441767</xdr:colOff>
      <xdr:row>8</xdr:row>
      <xdr:rowOff>151823</xdr:rowOff>
    </xdr:from>
    <xdr:to>
      <xdr:col>10</xdr:col>
      <xdr:colOff>441768</xdr:colOff>
      <xdr:row>19</xdr:row>
      <xdr:rowOff>57875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A46D639A-0354-4005-A440-BA1E5D8EE0A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907666" y="1617950"/>
              <a:ext cx="1823013" cy="1921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KHARA BANDARI" refreshedDate="46009.859466435184" createdVersion="8" refreshedVersion="8" minRefreshableVersion="3" recordCount="30" xr:uid="{816651A1-469B-47AA-B360-FB578AF94E61}">
  <cacheSource type="worksheet">
    <worksheetSource name="Table1"/>
  </cacheSource>
  <cacheFields count="6">
    <cacheField name="Date" numFmtId="14">
      <sharedItems containsSemiMixedTypes="0" containsNonDate="0" containsDate="1" containsString="0" minDate="2025-01-01T00:00:00" maxDate="2025-01-31T00:00:00"/>
    </cacheField>
    <cacheField name="Category" numFmtId="0">
      <sharedItems count="6">
        <s v="Rent"/>
        <s v="Groceries"/>
        <s v="Transport"/>
        <s v="Utilities"/>
        <s v="Entertainment"/>
        <s v="Shopping"/>
      </sharedItems>
    </cacheField>
    <cacheField name="Descrption" numFmtId="0">
      <sharedItems/>
    </cacheField>
    <cacheField name="Budget" numFmtId="0">
      <sharedItems containsSemiMixedTypes="0" containsString="0" containsNumber="1" containsInteger="1" minValue="800" maxValue="15000"/>
    </cacheField>
    <cacheField name="Actual" numFmtId="0">
      <sharedItems containsSemiMixedTypes="0" containsString="0" containsNumber="1" containsInteger="1" minValue="800" maxValue="15000"/>
    </cacheField>
    <cacheField name="Variance" numFmtId="0">
      <sharedItems containsSemiMixedTypes="0" containsString="0" containsNumber="1" containsInteger="1" minValue="-200" maxValue="1200"/>
    </cacheField>
  </cacheFields>
  <extLst>
    <ext xmlns:x14="http://schemas.microsoft.com/office/spreadsheetml/2009/9/main" uri="{725AE2AE-9491-48be-B2B4-4EB974FC3084}">
      <x14:pivotCacheDefinition pivotCacheId="3912309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d v="2025-01-01T00:00:00"/>
    <x v="0"/>
    <s v="January Rent"/>
    <n v="15000"/>
    <n v="15000"/>
    <n v="0"/>
  </r>
  <r>
    <d v="2025-01-02T00:00:00"/>
    <x v="1"/>
    <s v="Vegetables and fruits"/>
    <n v="3000"/>
    <n v="3500"/>
    <n v="500"/>
  </r>
  <r>
    <d v="2025-01-03T00:00:00"/>
    <x v="2"/>
    <s v="Fuel"/>
    <n v="2000"/>
    <n v="1800"/>
    <n v="-200"/>
  </r>
  <r>
    <d v="2025-01-04T00:00:00"/>
    <x v="3"/>
    <s v="Electricity Bill"/>
    <n v="2500"/>
    <n v="2700"/>
    <n v="200"/>
  </r>
  <r>
    <d v="2025-01-05T00:00:00"/>
    <x v="4"/>
    <s v="Movie night"/>
    <n v="1500"/>
    <n v="2200"/>
    <n v="700"/>
  </r>
  <r>
    <d v="2025-01-06T00:00:00"/>
    <x v="5"/>
    <s v="Clothing"/>
    <n v="3000"/>
    <n v="4200"/>
    <n v="1200"/>
  </r>
  <r>
    <d v="2025-01-07T00:00:00"/>
    <x v="1"/>
    <s v="Supermarket Shopping"/>
    <n v="3000"/>
    <n v="3100"/>
    <n v="100"/>
  </r>
  <r>
    <d v="2025-01-08T00:00:00"/>
    <x v="2"/>
    <s v="Cab and bus"/>
    <n v="1000"/>
    <n v="1200"/>
    <n v="200"/>
  </r>
  <r>
    <d v="2025-01-09T00:00:00"/>
    <x v="3"/>
    <s v="Water Bill"/>
    <n v="1000"/>
    <n v="900"/>
    <n v="-100"/>
  </r>
  <r>
    <d v="2025-01-10T00:00:00"/>
    <x v="4"/>
    <s v="Dining out"/>
    <n v="2000"/>
    <n v="2600"/>
    <n v="600"/>
  </r>
  <r>
    <d v="2025-01-11T00:00:00"/>
    <x v="5"/>
    <s v="Online shopping"/>
    <n v="2500"/>
    <n v="3300"/>
    <n v="800"/>
  </r>
  <r>
    <d v="2025-01-12T00:00:00"/>
    <x v="1"/>
    <s v="Monthly ration"/>
    <n v="4000"/>
    <n v="4500"/>
    <n v="500"/>
  </r>
  <r>
    <d v="2025-01-13T00:00:00"/>
    <x v="2"/>
    <s v="Fuel refill"/>
    <n v="2000"/>
    <n v="1900"/>
    <n v="-100"/>
  </r>
  <r>
    <d v="2025-01-14T00:00:00"/>
    <x v="3"/>
    <s v="Internet Bill"/>
    <n v="1200"/>
    <n v="1200"/>
    <n v="0"/>
  </r>
  <r>
    <d v="2025-01-15T00:00:00"/>
    <x v="4"/>
    <s v="Weekend outing"/>
    <n v="1800"/>
    <n v="2400"/>
    <n v="600"/>
  </r>
  <r>
    <d v="2025-01-16T00:00:00"/>
    <x v="5"/>
    <s v="Footwear"/>
    <n v="2000"/>
    <n v="2800"/>
    <n v="800"/>
  </r>
  <r>
    <d v="2025-01-17T00:00:00"/>
    <x v="1"/>
    <s v="Dairy and snacks"/>
    <n v="2000"/>
    <n v="2300"/>
    <n v="300"/>
  </r>
  <r>
    <d v="2025-01-18T00:00:00"/>
    <x v="2"/>
    <s v="Metro recharge"/>
    <n v="1000"/>
    <n v="1000"/>
    <n v="0"/>
  </r>
  <r>
    <d v="2025-01-19T00:00:00"/>
    <x v="3"/>
    <s v="Gas cylinder"/>
    <n v="1200"/>
    <n v="1350"/>
    <n v="150"/>
  </r>
  <r>
    <d v="2025-01-20T00:00:00"/>
    <x v="4"/>
    <s v="Streaming subscrption"/>
    <n v="800"/>
    <n v="800"/>
    <n v="0"/>
  </r>
  <r>
    <d v="2025-01-21T00:00:00"/>
    <x v="5"/>
    <s v="Accessories"/>
    <n v="1500"/>
    <n v="2100"/>
    <n v="600"/>
  </r>
  <r>
    <d v="2025-01-22T00:00:00"/>
    <x v="1"/>
    <s v="Fruits and vegetables"/>
    <n v="2500"/>
    <n v="2700"/>
    <n v="200"/>
  </r>
  <r>
    <d v="2025-01-23T00:00:00"/>
    <x v="2"/>
    <s v="Cab charges"/>
    <n v="1500"/>
    <n v="1700"/>
    <n v="200"/>
  </r>
  <r>
    <d v="2025-01-24T00:00:00"/>
    <x v="3"/>
    <s v="Maintenance charges"/>
    <n v="1800"/>
    <n v="1800"/>
    <n v="0"/>
  </r>
  <r>
    <d v="2025-01-25T00:00:00"/>
    <x v="4"/>
    <s v="Family dinner"/>
    <n v="2200"/>
    <n v="2900"/>
    <n v="700"/>
  </r>
  <r>
    <d v="2025-01-26T00:00:00"/>
    <x v="5"/>
    <s v="Home items"/>
    <n v="2800"/>
    <n v="3600"/>
    <n v="800"/>
  </r>
  <r>
    <d v="2025-01-27T00:00:00"/>
    <x v="1"/>
    <s v="Weekly groceries"/>
    <n v="3000"/>
    <n v="3400"/>
    <n v="400"/>
  </r>
  <r>
    <d v="2025-01-28T00:00:00"/>
    <x v="2"/>
    <s v="Fuel"/>
    <n v="2000"/>
    <n v="2100"/>
    <n v="100"/>
  </r>
  <r>
    <d v="2025-01-29T00:00:00"/>
    <x v="3"/>
    <s v="Electricity adjustment"/>
    <n v="1500"/>
    <n v="1600"/>
    <n v="100"/>
  </r>
  <r>
    <d v="2025-01-30T00:00:00"/>
    <x v="4"/>
    <s v="Event tickets"/>
    <n v="2000"/>
    <n v="3100"/>
    <n v="1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7AEB2F-8B71-4F73-981A-2096811CE3C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6">
    <pivotField numFmtId="14" showAll="0"/>
    <pivotField axis="axisRow" showAll="0">
      <items count="7">
        <item x="4"/>
        <item x="1"/>
        <item x="0"/>
        <item x="5"/>
        <item x="2"/>
        <item x="3"/>
        <item t="default"/>
      </items>
    </pivotField>
    <pivotField showAll="0"/>
    <pivotField dataField="1" showAll="0"/>
    <pivotField dataField="1" showAll="0"/>
    <pivotField showAll="0"/>
  </pivotFields>
  <rowFields count="1">
    <field x="1"/>
  </rowFields>
  <rowItems count="7">
    <i>
      <x/>
    </i>
    <i>
      <x v="1"/>
    </i>
    <i>
      <x v="2"/>
    </i>
    <i>
      <x v="3"/>
    </i>
    <i>
      <x v="4"/>
    </i>
    <i>
      <x v="5"/>
    </i>
    <i t="grand">
      <x/>
    </i>
  </rowItems>
  <colFields count="1">
    <field x="-2"/>
  </colFields>
  <colItems count="2">
    <i>
      <x/>
    </i>
    <i i="1">
      <x v="1"/>
    </i>
  </colItems>
  <dataFields count="2">
    <dataField name="Sum of Actual" fld="4" baseField="0" baseItem="0" numFmtId="3"/>
    <dataField name="Sum of Budget" fld="3" baseField="0" baseItem="0" numFmtId="3"/>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DE6DA0-CF2D-4EFF-B683-6FAE31F6933E}"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10" firstHeaderRow="0" firstDataRow="1" firstDataCol="1"/>
  <pivotFields count="6">
    <pivotField numFmtId="14" showAll="0"/>
    <pivotField axis="axisRow" showAll="0">
      <items count="7">
        <item x="4"/>
        <item x="1"/>
        <item x="0"/>
        <item x="5"/>
        <item x="2"/>
        <item x="3"/>
        <item t="default"/>
      </items>
    </pivotField>
    <pivotField showAll="0"/>
    <pivotField dataField="1" showAll="0"/>
    <pivotField dataField="1" showAll="0"/>
    <pivotField dataField="1" showAll="0"/>
  </pivotFields>
  <rowFields count="1">
    <field x="1"/>
  </rowFields>
  <rowItems count="7">
    <i>
      <x/>
    </i>
    <i>
      <x v="1"/>
    </i>
    <i>
      <x v="2"/>
    </i>
    <i>
      <x v="3"/>
    </i>
    <i>
      <x v="4"/>
    </i>
    <i>
      <x v="5"/>
    </i>
    <i t="grand">
      <x/>
    </i>
  </rowItems>
  <colFields count="1">
    <field x="-2"/>
  </colFields>
  <colItems count="3">
    <i>
      <x/>
    </i>
    <i i="1">
      <x v="1"/>
    </i>
    <i i="2">
      <x v="2"/>
    </i>
  </colItems>
  <dataFields count="3">
    <dataField name="Sum of Budget" fld="3" baseField="0" baseItem="0"/>
    <dataField name="Sum of Actual" fld="4" baseField="0" baseItem="0"/>
    <dataField name="Sum of Variance" fld="5" baseField="0" baseItem="0"/>
  </dataFields>
  <conditionalFormats count="3">
    <conditionalFormat priority="3">
      <pivotAreas count="1">
        <pivotArea type="data" collapsedLevelsAreSubtotals="1" fieldPosition="0">
          <references count="2">
            <reference field="4294967294" count="1" selected="0">
              <x v="2"/>
            </reference>
            <reference field="1" count="6">
              <x v="0"/>
              <x v="1"/>
              <x v="2"/>
              <x v="3"/>
              <x v="4"/>
              <x v="5"/>
            </reference>
          </references>
        </pivotArea>
      </pivotAreas>
    </conditionalFormat>
    <conditionalFormat priority="2">
      <pivotAreas count="1">
        <pivotArea type="data" collapsedLevelsAreSubtotals="1" fieldPosition="0">
          <references count="2">
            <reference field="4294967294" count="1" selected="0">
              <x v="2"/>
            </reference>
            <reference field="1" count="6">
              <x v="0"/>
              <x v="1"/>
              <x v="2"/>
              <x v="3"/>
              <x v="4"/>
              <x v="5"/>
            </reference>
          </references>
        </pivotArea>
      </pivotAreas>
    </conditionalFormat>
    <conditionalFormat priority="1">
      <pivotAreas count="1">
        <pivotArea type="data" collapsedLevelsAreSubtotals="1" fieldPosition="0">
          <references count="2">
            <reference field="4294967294" count="1" selected="0">
              <x v="2"/>
            </reference>
            <reference field="1"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194509-666B-4580-AEED-13F56A0C8D51}"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6">
    <pivotField numFmtId="14" showAll="0"/>
    <pivotField axis="axisRow" showAll="0">
      <items count="7">
        <item x="4"/>
        <item x="1"/>
        <item x="0"/>
        <item x="5"/>
        <item x="2"/>
        <item x="3"/>
        <item t="default"/>
      </items>
    </pivotField>
    <pivotField showAll="0"/>
    <pivotField showAll="0"/>
    <pivotField dataField="1" showAll="0"/>
    <pivotField showAll="0"/>
  </pivotFields>
  <rowFields count="1">
    <field x="1"/>
  </rowFields>
  <rowItems count="7">
    <i>
      <x/>
    </i>
    <i>
      <x v="1"/>
    </i>
    <i>
      <x v="2"/>
    </i>
    <i>
      <x v="3"/>
    </i>
    <i>
      <x v="4"/>
    </i>
    <i>
      <x v="5"/>
    </i>
    <i t="grand">
      <x/>
    </i>
  </rowItems>
  <colItems count="1">
    <i/>
  </colItems>
  <dataFields count="1">
    <dataField name="Sum of Actual" fld="4" baseField="0" baseItem="0"/>
  </dataFields>
  <chartFormats count="8">
    <chartFormat chart="4"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 count="1" selected="0">
            <x v="0"/>
          </reference>
        </references>
      </pivotArea>
    </chartFormat>
    <chartFormat chart="6" format="10">
      <pivotArea type="data" outline="0" fieldPosition="0">
        <references count="2">
          <reference field="4294967294" count="1" selected="0">
            <x v="0"/>
          </reference>
          <reference field="1" count="1" selected="0">
            <x v="1"/>
          </reference>
        </references>
      </pivotArea>
    </chartFormat>
    <chartFormat chart="6" format="11">
      <pivotArea type="data" outline="0" fieldPosition="0">
        <references count="2">
          <reference field="4294967294" count="1" selected="0">
            <x v="0"/>
          </reference>
          <reference field="1" count="1" selected="0">
            <x v="2"/>
          </reference>
        </references>
      </pivotArea>
    </chartFormat>
    <chartFormat chart="6" format="12">
      <pivotArea type="data" outline="0" fieldPosition="0">
        <references count="2">
          <reference field="4294967294" count="1" selected="0">
            <x v="0"/>
          </reference>
          <reference field="1" count="1" selected="0">
            <x v="3"/>
          </reference>
        </references>
      </pivotArea>
    </chartFormat>
    <chartFormat chart="6" format="13">
      <pivotArea type="data" outline="0" fieldPosition="0">
        <references count="2">
          <reference field="4294967294" count="1" selected="0">
            <x v="0"/>
          </reference>
          <reference field="1" count="1" selected="0">
            <x v="4"/>
          </reference>
        </references>
      </pivotArea>
    </chartFormat>
    <chartFormat chart="6"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401B8B4-3947-4D21-8A91-4F1ABA2850F5}" sourceName="Category">
  <pivotTables>
    <pivotTable tabId="2" name="PivotTable1"/>
  </pivotTables>
  <data>
    <tabular pivotCacheId="391230996">
      <items count="6">
        <i x="4" s="1"/>
        <i x="1" s="1"/>
        <i x="0" s="1"/>
        <i x="5"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74C5076-BA9A-4C92-92A4-92F280FAAD3F}"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9694AE-36A5-47A4-B098-C9177AEB8674}" name="Table1" displayName="Table1" ref="A1:F31" totalsRowShown="0">
  <autoFilter ref="A1:F31" xr:uid="{899694AE-36A5-47A4-B098-C9177AEB8674}"/>
  <tableColumns count="6">
    <tableColumn id="1" xr3:uid="{0F9B8230-9996-46AD-954D-7FC2F1491531}" name="Date" dataDxfId="7"/>
    <tableColumn id="2" xr3:uid="{ECEBEFCB-5266-4ADB-971A-58B9C385F917}" name="Category"/>
    <tableColumn id="3" xr3:uid="{5D75A563-8D72-434D-8A44-D23C0F72842D}" name="Descrption"/>
    <tableColumn id="4" xr3:uid="{B0260A26-F0FD-4C3B-A4BF-216BE9861A9D}" name="Budget"/>
    <tableColumn id="5" xr3:uid="{2D141410-A964-4E65-9B92-2531440ABFFD}" name="Actual"/>
    <tableColumn id="6" xr3:uid="{99738640-E4E6-4ABA-BBFD-FE8C2EE7535A}" name="Variance">
      <calculatedColumnFormula>E2-D2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3E608-0C29-4C59-8CE0-1C2F7C80FB47}">
  <dimension ref="A3:C10"/>
  <sheetViews>
    <sheetView workbookViewId="0">
      <selection activeCell="C5" sqref="C5"/>
    </sheetView>
  </sheetViews>
  <sheetFormatPr defaultRowHeight="14.4" x14ac:dyDescent="0.3"/>
  <cols>
    <col min="1" max="1" width="12.6640625" bestFit="1" customWidth="1"/>
    <col min="2" max="2" width="12.77734375" bestFit="1" customWidth="1"/>
    <col min="3" max="3" width="13.5546875" bestFit="1" customWidth="1"/>
    <col min="4" max="4" width="14.88671875" bestFit="1" customWidth="1"/>
  </cols>
  <sheetData>
    <row r="3" spans="1:3" x14ac:dyDescent="0.3">
      <c r="A3" s="2" t="s">
        <v>41</v>
      </c>
      <c r="B3" t="s">
        <v>43</v>
      </c>
      <c r="C3" t="s">
        <v>45</v>
      </c>
    </row>
    <row r="4" spans="1:3" x14ac:dyDescent="0.3">
      <c r="A4" s="3" t="s">
        <v>8</v>
      </c>
      <c r="B4" s="5">
        <v>14000</v>
      </c>
      <c r="C4" s="5">
        <v>10300</v>
      </c>
    </row>
    <row r="5" spans="1:3" x14ac:dyDescent="0.3">
      <c r="A5" s="3" t="s">
        <v>6</v>
      </c>
      <c r="B5" s="5">
        <v>19500</v>
      </c>
      <c r="C5" s="5">
        <v>17500</v>
      </c>
    </row>
    <row r="6" spans="1:3" x14ac:dyDescent="0.3">
      <c r="A6" s="3" t="s">
        <v>5</v>
      </c>
      <c r="B6" s="5">
        <v>15000</v>
      </c>
      <c r="C6" s="5">
        <v>15000</v>
      </c>
    </row>
    <row r="7" spans="1:3" x14ac:dyDescent="0.3">
      <c r="A7" s="3" t="s">
        <v>9</v>
      </c>
      <c r="B7" s="5">
        <v>16000</v>
      </c>
      <c r="C7" s="5">
        <v>11800</v>
      </c>
    </row>
    <row r="8" spans="1:3" x14ac:dyDescent="0.3">
      <c r="A8" s="3" t="s">
        <v>7</v>
      </c>
      <c r="B8" s="5">
        <v>9700</v>
      </c>
      <c r="C8" s="5">
        <v>9500</v>
      </c>
    </row>
    <row r="9" spans="1:3" x14ac:dyDescent="0.3">
      <c r="A9" s="3" t="s">
        <v>10</v>
      </c>
      <c r="B9" s="5">
        <v>9550</v>
      </c>
      <c r="C9" s="5">
        <v>9200</v>
      </c>
    </row>
    <row r="10" spans="1:3" x14ac:dyDescent="0.3">
      <c r="A10" s="3" t="s">
        <v>42</v>
      </c>
      <c r="B10" s="5">
        <v>83750</v>
      </c>
      <c r="C10" s="5">
        <v>73300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58923-DDA7-431B-8D8C-14BABC216F6B}">
  <dimension ref="A3:D10"/>
  <sheetViews>
    <sheetView tabSelected="1" workbookViewId="0">
      <selection activeCell="C18" sqref="C18"/>
    </sheetView>
  </sheetViews>
  <sheetFormatPr defaultRowHeight="14.4" x14ac:dyDescent="0.3"/>
  <cols>
    <col min="1" max="1" width="12.6640625" bestFit="1" customWidth="1"/>
    <col min="2" max="2" width="13.5546875" bestFit="1" customWidth="1"/>
    <col min="3" max="3" width="12.77734375" bestFit="1" customWidth="1"/>
    <col min="4" max="4" width="14.88671875" bestFit="1" customWidth="1"/>
  </cols>
  <sheetData>
    <row r="3" spans="1:4" x14ac:dyDescent="0.3">
      <c r="A3" s="2" t="s">
        <v>41</v>
      </c>
      <c r="B3" t="s">
        <v>45</v>
      </c>
      <c r="C3" t="s">
        <v>43</v>
      </c>
      <c r="D3" t="s">
        <v>44</v>
      </c>
    </row>
    <row r="4" spans="1:4" x14ac:dyDescent="0.3">
      <c r="A4" s="3" t="s">
        <v>8</v>
      </c>
      <c r="B4" s="4">
        <v>10300</v>
      </c>
      <c r="C4" s="4">
        <v>14000</v>
      </c>
      <c r="D4" s="4">
        <v>3700</v>
      </c>
    </row>
    <row r="5" spans="1:4" x14ac:dyDescent="0.3">
      <c r="A5" s="3" t="s">
        <v>6</v>
      </c>
      <c r="B5" s="4">
        <v>17500</v>
      </c>
      <c r="C5" s="4">
        <v>19500</v>
      </c>
      <c r="D5" s="4">
        <v>2000</v>
      </c>
    </row>
    <row r="6" spans="1:4" x14ac:dyDescent="0.3">
      <c r="A6" s="3" t="s">
        <v>5</v>
      </c>
      <c r="B6" s="4">
        <v>15000</v>
      </c>
      <c r="C6" s="4">
        <v>15000</v>
      </c>
      <c r="D6" s="4">
        <v>0</v>
      </c>
    </row>
    <row r="7" spans="1:4" x14ac:dyDescent="0.3">
      <c r="A7" s="3" t="s">
        <v>9</v>
      </c>
      <c r="B7" s="4">
        <v>11800</v>
      </c>
      <c r="C7" s="4">
        <v>16000</v>
      </c>
      <c r="D7" s="4">
        <v>4200</v>
      </c>
    </row>
    <row r="8" spans="1:4" x14ac:dyDescent="0.3">
      <c r="A8" s="3" t="s">
        <v>7</v>
      </c>
      <c r="B8" s="4">
        <v>9500</v>
      </c>
      <c r="C8" s="4">
        <v>9700</v>
      </c>
      <c r="D8" s="4">
        <v>200</v>
      </c>
    </row>
    <row r="9" spans="1:4" x14ac:dyDescent="0.3">
      <c r="A9" s="3" t="s">
        <v>10</v>
      </c>
      <c r="B9" s="4">
        <v>9200</v>
      </c>
      <c r="C9" s="4">
        <v>9550</v>
      </c>
      <c r="D9" s="4">
        <v>350</v>
      </c>
    </row>
    <row r="10" spans="1:4" x14ac:dyDescent="0.3">
      <c r="A10" s="3" t="s">
        <v>42</v>
      </c>
      <c r="B10" s="4">
        <v>73300</v>
      </c>
      <c r="C10" s="4">
        <v>83750</v>
      </c>
      <c r="D10" s="4">
        <v>10450</v>
      </c>
    </row>
  </sheetData>
  <conditionalFormatting pivot="1" sqref="D4:D9">
    <cfRule type="cellIs" dxfId="3" priority="3" operator="greaterThan">
      <formula>0</formula>
    </cfRule>
  </conditionalFormatting>
  <conditionalFormatting pivot="1" sqref="D4:D9">
    <cfRule type="cellIs" dxfId="2" priority="2" operator="lessThan">
      <formula>0</formula>
    </cfRule>
  </conditionalFormatting>
  <conditionalFormatting pivot="1" sqref="D4:D9">
    <cfRule type="cellIs" dxfId="1" priority="1" operator="equal">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44311-A0D4-4418-9D64-8FED22B5BBED}">
  <dimension ref="A3:B10"/>
  <sheetViews>
    <sheetView workbookViewId="0">
      <selection activeCell="F5" sqref="F5"/>
    </sheetView>
  </sheetViews>
  <sheetFormatPr defaultRowHeight="14.4" x14ac:dyDescent="0.3"/>
  <cols>
    <col min="1" max="1" width="12.6640625" bestFit="1" customWidth="1"/>
    <col min="2" max="2" width="12.77734375" bestFit="1" customWidth="1"/>
  </cols>
  <sheetData>
    <row r="3" spans="1:2" x14ac:dyDescent="0.3">
      <c r="A3" s="2" t="s">
        <v>41</v>
      </c>
      <c r="B3" t="s">
        <v>43</v>
      </c>
    </row>
    <row r="4" spans="1:2" x14ac:dyDescent="0.3">
      <c r="A4" s="3" t="s">
        <v>8</v>
      </c>
      <c r="B4" s="4">
        <v>14000</v>
      </c>
    </row>
    <row r="5" spans="1:2" x14ac:dyDescent="0.3">
      <c r="A5" s="3" t="s">
        <v>6</v>
      </c>
      <c r="B5" s="4">
        <v>19500</v>
      </c>
    </row>
    <row r="6" spans="1:2" x14ac:dyDescent="0.3">
      <c r="A6" s="3" t="s">
        <v>5</v>
      </c>
      <c r="B6" s="4">
        <v>15000</v>
      </c>
    </row>
    <row r="7" spans="1:2" x14ac:dyDescent="0.3">
      <c r="A7" s="3" t="s">
        <v>9</v>
      </c>
      <c r="B7" s="4">
        <v>16000</v>
      </c>
    </row>
    <row r="8" spans="1:2" x14ac:dyDescent="0.3">
      <c r="A8" s="3" t="s">
        <v>7</v>
      </c>
      <c r="B8" s="4">
        <v>9700</v>
      </c>
    </row>
    <row r="9" spans="1:2" x14ac:dyDescent="0.3">
      <c r="A9" s="3" t="s">
        <v>10</v>
      </c>
      <c r="B9" s="4">
        <v>9550</v>
      </c>
    </row>
    <row r="10" spans="1:2" x14ac:dyDescent="0.3">
      <c r="A10" s="3" t="s">
        <v>42</v>
      </c>
      <c r="B10" s="4">
        <v>83750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88309-808F-4DB8-85FB-472C7200B211}">
  <dimension ref="A1:B3"/>
  <sheetViews>
    <sheetView zoomScale="79" workbookViewId="0">
      <selection activeCell="H2" sqref="H2"/>
    </sheetView>
  </sheetViews>
  <sheetFormatPr defaultRowHeight="14.4" x14ac:dyDescent="0.3"/>
  <cols>
    <col min="1" max="1" width="12" customWidth="1"/>
  </cols>
  <sheetData>
    <row r="1" spans="1:2" x14ac:dyDescent="0.3">
      <c r="A1" s="6" t="s">
        <v>46</v>
      </c>
      <c r="B1" s="7">
        <v>73300</v>
      </c>
    </row>
    <row r="2" spans="1:2" x14ac:dyDescent="0.3">
      <c r="A2" s="6" t="s">
        <v>47</v>
      </c>
      <c r="B2" s="7">
        <v>83750</v>
      </c>
    </row>
    <row r="3" spans="1:2" x14ac:dyDescent="0.3">
      <c r="A3" s="6" t="s">
        <v>48</v>
      </c>
      <c r="B3" s="7">
        <v>10450</v>
      </c>
    </row>
  </sheetData>
  <conditionalFormatting sqref="B3">
    <cfRule type="cellIs" dxfId="0" priority="1" operator="greaterThan">
      <formula>0</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opLeftCell="A2" workbookViewId="0">
      <selection activeCell="C14" sqref="C14"/>
    </sheetView>
  </sheetViews>
  <sheetFormatPr defaultRowHeight="14.4" x14ac:dyDescent="0.3"/>
  <cols>
    <col min="1" max="1" width="10.33203125" bestFit="1" customWidth="1"/>
    <col min="2" max="2" width="14" customWidth="1"/>
    <col min="3" max="3" width="21.21875" customWidth="1"/>
    <col min="6" max="6" width="10.21875" customWidth="1"/>
  </cols>
  <sheetData>
    <row r="1" spans="1:6" x14ac:dyDescent="0.3">
      <c r="A1" t="s">
        <v>0</v>
      </c>
      <c r="B1" t="s">
        <v>1</v>
      </c>
      <c r="C1" t="s">
        <v>2</v>
      </c>
      <c r="D1" t="s">
        <v>3</v>
      </c>
      <c r="E1" t="s">
        <v>4</v>
      </c>
      <c r="F1" t="s">
        <v>40</v>
      </c>
    </row>
    <row r="2" spans="1:6" x14ac:dyDescent="0.3">
      <c r="A2" s="1">
        <v>45658</v>
      </c>
      <c r="B2" t="s">
        <v>5</v>
      </c>
      <c r="C2" t="s">
        <v>11</v>
      </c>
      <c r="D2">
        <v>15000</v>
      </c>
      <c r="E2">
        <v>15000</v>
      </c>
      <c r="F2">
        <f>E2-D2</f>
        <v>0</v>
      </c>
    </row>
    <row r="3" spans="1:6" x14ac:dyDescent="0.3">
      <c r="A3" s="1">
        <v>45659</v>
      </c>
      <c r="B3" t="s">
        <v>6</v>
      </c>
      <c r="C3" t="s">
        <v>12</v>
      </c>
      <c r="D3">
        <v>3000</v>
      </c>
      <c r="E3">
        <v>3500</v>
      </c>
      <c r="F3">
        <f t="shared" ref="F3:F31" si="0">E3-D3</f>
        <v>500</v>
      </c>
    </row>
    <row r="4" spans="1:6" x14ac:dyDescent="0.3">
      <c r="A4" s="1">
        <v>45660</v>
      </c>
      <c r="B4" t="s">
        <v>7</v>
      </c>
      <c r="C4" t="s">
        <v>13</v>
      </c>
      <c r="D4">
        <v>2000</v>
      </c>
      <c r="E4">
        <v>1800</v>
      </c>
      <c r="F4">
        <f t="shared" si="0"/>
        <v>-200</v>
      </c>
    </row>
    <row r="5" spans="1:6" x14ac:dyDescent="0.3">
      <c r="A5" s="1">
        <v>45661</v>
      </c>
      <c r="B5" t="s">
        <v>10</v>
      </c>
      <c r="C5" t="s">
        <v>14</v>
      </c>
      <c r="D5">
        <v>2500</v>
      </c>
      <c r="E5">
        <v>2700</v>
      </c>
      <c r="F5">
        <f t="shared" si="0"/>
        <v>200</v>
      </c>
    </row>
    <row r="6" spans="1:6" x14ac:dyDescent="0.3">
      <c r="A6" s="1">
        <v>45662</v>
      </c>
      <c r="B6" t="s">
        <v>8</v>
      </c>
      <c r="C6" t="s">
        <v>15</v>
      </c>
      <c r="D6">
        <v>1500</v>
      </c>
      <c r="E6">
        <v>2200</v>
      </c>
      <c r="F6">
        <f t="shared" si="0"/>
        <v>700</v>
      </c>
    </row>
    <row r="7" spans="1:6" x14ac:dyDescent="0.3">
      <c r="A7" s="1">
        <v>45663</v>
      </c>
      <c r="B7" t="s">
        <v>9</v>
      </c>
      <c r="C7" t="s">
        <v>16</v>
      </c>
      <c r="D7">
        <v>3000</v>
      </c>
      <c r="E7">
        <v>4200</v>
      </c>
      <c r="F7">
        <f t="shared" si="0"/>
        <v>1200</v>
      </c>
    </row>
    <row r="8" spans="1:6" x14ac:dyDescent="0.3">
      <c r="A8" s="1">
        <v>45664</v>
      </c>
      <c r="B8" t="s">
        <v>6</v>
      </c>
      <c r="C8" t="s">
        <v>17</v>
      </c>
      <c r="D8">
        <v>3000</v>
      </c>
      <c r="E8">
        <v>3100</v>
      </c>
      <c r="F8">
        <f t="shared" si="0"/>
        <v>100</v>
      </c>
    </row>
    <row r="9" spans="1:6" x14ac:dyDescent="0.3">
      <c r="A9" s="1">
        <v>45665</v>
      </c>
      <c r="B9" t="s">
        <v>7</v>
      </c>
      <c r="C9" t="s">
        <v>18</v>
      </c>
      <c r="D9">
        <v>1000</v>
      </c>
      <c r="E9">
        <v>1200</v>
      </c>
      <c r="F9">
        <f t="shared" si="0"/>
        <v>200</v>
      </c>
    </row>
    <row r="10" spans="1:6" x14ac:dyDescent="0.3">
      <c r="A10" s="1">
        <v>45666</v>
      </c>
      <c r="B10" t="s">
        <v>10</v>
      </c>
      <c r="C10" t="s">
        <v>19</v>
      </c>
      <c r="D10">
        <v>1000</v>
      </c>
      <c r="E10">
        <v>900</v>
      </c>
      <c r="F10">
        <f t="shared" si="0"/>
        <v>-100</v>
      </c>
    </row>
    <row r="11" spans="1:6" x14ac:dyDescent="0.3">
      <c r="A11" s="1">
        <v>45667</v>
      </c>
      <c r="B11" t="s">
        <v>8</v>
      </c>
      <c r="C11" t="s">
        <v>20</v>
      </c>
      <c r="D11">
        <v>2000</v>
      </c>
      <c r="E11">
        <v>2600</v>
      </c>
      <c r="F11">
        <f t="shared" si="0"/>
        <v>600</v>
      </c>
    </row>
    <row r="12" spans="1:6" x14ac:dyDescent="0.3">
      <c r="A12" s="1">
        <v>45668</v>
      </c>
      <c r="B12" t="s">
        <v>9</v>
      </c>
      <c r="C12" t="s">
        <v>21</v>
      </c>
      <c r="D12">
        <v>2500</v>
      </c>
      <c r="E12">
        <v>3300</v>
      </c>
      <c r="F12">
        <f t="shared" si="0"/>
        <v>800</v>
      </c>
    </row>
    <row r="13" spans="1:6" x14ac:dyDescent="0.3">
      <c r="A13" s="1">
        <v>45669</v>
      </c>
      <c r="B13" t="s">
        <v>6</v>
      </c>
      <c r="C13" t="s">
        <v>22</v>
      </c>
      <c r="D13">
        <v>4000</v>
      </c>
      <c r="E13">
        <v>4500</v>
      </c>
      <c r="F13">
        <f t="shared" si="0"/>
        <v>500</v>
      </c>
    </row>
    <row r="14" spans="1:6" x14ac:dyDescent="0.3">
      <c r="A14" s="1">
        <v>45670</v>
      </c>
      <c r="B14" t="s">
        <v>7</v>
      </c>
      <c r="C14" t="s">
        <v>23</v>
      </c>
      <c r="D14">
        <v>2000</v>
      </c>
      <c r="E14">
        <v>1900</v>
      </c>
      <c r="F14">
        <f t="shared" si="0"/>
        <v>-100</v>
      </c>
    </row>
    <row r="15" spans="1:6" x14ac:dyDescent="0.3">
      <c r="A15" s="1">
        <v>45671</v>
      </c>
      <c r="B15" t="s">
        <v>10</v>
      </c>
      <c r="C15" t="s">
        <v>24</v>
      </c>
      <c r="D15">
        <v>1200</v>
      </c>
      <c r="E15">
        <v>1200</v>
      </c>
      <c r="F15">
        <f t="shared" si="0"/>
        <v>0</v>
      </c>
    </row>
    <row r="16" spans="1:6" x14ac:dyDescent="0.3">
      <c r="A16" s="1">
        <v>45672</v>
      </c>
      <c r="B16" t="s">
        <v>8</v>
      </c>
      <c r="C16" t="s">
        <v>25</v>
      </c>
      <c r="D16">
        <v>1800</v>
      </c>
      <c r="E16">
        <v>2400</v>
      </c>
      <c r="F16">
        <f t="shared" si="0"/>
        <v>600</v>
      </c>
    </row>
    <row r="17" spans="1:6" x14ac:dyDescent="0.3">
      <c r="A17" s="1">
        <v>45673</v>
      </c>
      <c r="B17" t="s">
        <v>9</v>
      </c>
      <c r="C17" t="s">
        <v>26</v>
      </c>
      <c r="D17">
        <v>2000</v>
      </c>
      <c r="E17">
        <v>2800</v>
      </c>
      <c r="F17">
        <f t="shared" si="0"/>
        <v>800</v>
      </c>
    </row>
    <row r="18" spans="1:6" x14ac:dyDescent="0.3">
      <c r="A18" s="1">
        <v>45674</v>
      </c>
      <c r="B18" t="s">
        <v>6</v>
      </c>
      <c r="C18" t="s">
        <v>27</v>
      </c>
      <c r="D18">
        <v>2000</v>
      </c>
      <c r="E18">
        <v>2300</v>
      </c>
      <c r="F18">
        <f t="shared" si="0"/>
        <v>300</v>
      </c>
    </row>
    <row r="19" spans="1:6" x14ac:dyDescent="0.3">
      <c r="A19" s="1">
        <v>45675</v>
      </c>
      <c r="B19" t="s">
        <v>7</v>
      </c>
      <c r="C19" t="s">
        <v>28</v>
      </c>
      <c r="D19">
        <v>1000</v>
      </c>
      <c r="E19">
        <v>1000</v>
      </c>
      <c r="F19">
        <f t="shared" si="0"/>
        <v>0</v>
      </c>
    </row>
    <row r="20" spans="1:6" x14ac:dyDescent="0.3">
      <c r="A20" s="1">
        <v>45676</v>
      </c>
      <c r="B20" t="s">
        <v>10</v>
      </c>
      <c r="C20" t="s">
        <v>29</v>
      </c>
      <c r="D20">
        <v>1200</v>
      </c>
      <c r="E20">
        <v>1350</v>
      </c>
      <c r="F20">
        <f t="shared" si="0"/>
        <v>150</v>
      </c>
    </row>
    <row r="21" spans="1:6" x14ac:dyDescent="0.3">
      <c r="A21" s="1">
        <v>45677</v>
      </c>
      <c r="B21" t="s">
        <v>8</v>
      </c>
      <c r="C21" t="s">
        <v>30</v>
      </c>
      <c r="D21">
        <v>800</v>
      </c>
      <c r="E21">
        <v>800</v>
      </c>
      <c r="F21">
        <f t="shared" si="0"/>
        <v>0</v>
      </c>
    </row>
    <row r="22" spans="1:6" x14ac:dyDescent="0.3">
      <c r="A22" s="1">
        <v>45678</v>
      </c>
      <c r="B22" t="s">
        <v>9</v>
      </c>
      <c r="C22" t="s">
        <v>31</v>
      </c>
      <c r="D22">
        <v>1500</v>
      </c>
      <c r="E22">
        <v>2100</v>
      </c>
      <c r="F22">
        <f t="shared" si="0"/>
        <v>600</v>
      </c>
    </row>
    <row r="23" spans="1:6" x14ac:dyDescent="0.3">
      <c r="A23" s="1">
        <v>45679</v>
      </c>
      <c r="B23" t="s">
        <v>6</v>
      </c>
      <c r="C23" t="s">
        <v>32</v>
      </c>
      <c r="D23">
        <v>2500</v>
      </c>
      <c r="E23">
        <v>2700</v>
      </c>
      <c r="F23">
        <f t="shared" si="0"/>
        <v>200</v>
      </c>
    </row>
    <row r="24" spans="1:6" x14ac:dyDescent="0.3">
      <c r="A24" s="1">
        <v>45680</v>
      </c>
      <c r="B24" t="s">
        <v>7</v>
      </c>
      <c r="C24" t="s">
        <v>33</v>
      </c>
      <c r="D24">
        <v>1500</v>
      </c>
      <c r="E24">
        <v>1700</v>
      </c>
      <c r="F24">
        <f t="shared" si="0"/>
        <v>200</v>
      </c>
    </row>
    <row r="25" spans="1:6" x14ac:dyDescent="0.3">
      <c r="A25" s="1">
        <v>45681</v>
      </c>
      <c r="B25" t="s">
        <v>10</v>
      </c>
      <c r="C25" t="s">
        <v>34</v>
      </c>
      <c r="D25">
        <v>1800</v>
      </c>
      <c r="E25">
        <v>1800</v>
      </c>
      <c r="F25">
        <f t="shared" si="0"/>
        <v>0</v>
      </c>
    </row>
    <row r="26" spans="1:6" x14ac:dyDescent="0.3">
      <c r="A26" s="1">
        <v>45682</v>
      </c>
      <c r="B26" t="s">
        <v>8</v>
      </c>
      <c r="C26" t="s">
        <v>35</v>
      </c>
      <c r="D26">
        <v>2200</v>
      </c>
      <c r="E26">
        <v>2900</v>
      </c>
      <c r="F26">
        <f t="shared" si="0"/>
        <v>700</v>
      </c>
    </row>
    <row r="27" spans="1:6" x14ac:dyDescent="0.3">
      <c r="A27" s="1">
        <v>45683</v>
      </c>
      <c r="B27" t="s">
        <v>9</v>
      </c>
      <c r="C27" t="s">
        <v>36</v>
      </c>
      <c r="D27">
        <v>2800</v>
      </c>
      <c r="E27">
        <v>3600</v>
      </c>
      <c r="F27">
        <f t="shared" si="0"/>
        <v>800</v>
      </c>
    </row>
    <row r="28" spans="1:6" x14ac:dyDescent="0.3">
      <c r="A28" s="1">
        <v>45684</v>
      </c>
      <c r="B28" t="s">
        <v>6</v>
      </c>
      <c r="C28" t="s">
        <v>37</v>
      </c>
      <c r="D28">
        <v>3000</v>
      </c>
      <c r="E28">
        <v>3400</v>
      </c>
      <c r="F28">
        <f t="shared" si="0"/>
        <v>400</v>
      </c>
    </row>
    <row r="29" spans="1:6" x14ac:dyDescent="0.3">
      <c r="A29" s="1">
        <v>45685</v>
      </c>
      <c r="B29" t="s">
        <v>7</v>
      </c>
      <c r="C29" t="s">
        <v>13</v>
      </c>
      <c r="D29">
        <v>2000</v>
      </c>
      <c r="E29">
        <v>2100</v>
      </c>
      <c r="F29">
        <f t="shared" si="0"/>
        <v>100</v>
      </c>
    </row>
    <row r="30" spans="1:6" x14ac:dyDescent="0.3">
      <c r="A30" s="1">
        <v>45686</v>
      </c>
      <c r="B30" t="s">
        <v>10</v>
      </c>
      <c r="C30" t="s">
        <v>38</v>
      </c>
      <c r="D30">
        <v>1500</v>
      </c>
      <c r="E30">
        <v>1600</v>
      </c>
      <c r="F30">
        <f t="shared" si="0"/>
        <v>100</v>
      </c>
    </row>
    <row r="31" spans="1:6" x14ac:dyDescent="0.3">
      <c r="A31" s="1">
        <v>45687</v>
      </c>
      <c r="B31" t="s">
        <v>8</v>
      </c>
      <c r="C31" t="s">
        <v>39</v>
      </c>
      <c r="D31">
        <v>2000</v>
      </c>
      <c r="E31">
        <v>3100</v>
      </c>
      <c r="F31">
        <f t="shared" si="0"/>
        <v>1100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7B1D6-8B44-4BE1-BEB0-D3670E1D06CC}">
  <dimension ref="A1:A7"/>
  <sheetViews>
    <sheetView workbookViewId="0">
      <selection activeCell="E9" sqref="E9"/>
    </sheetView>
  </sheetViews>
  <sheetFormatPr defaultRowHeight="14.4" x14ac:dyDescent="0.3"/>
  <sheetData>
    <row r="1" spans="1:1" x14ac:dyDescent="0.3">
      <c r="A1" s="8" t="s">
        <v>49</v>
      </c>
    </row>
    <row r="3" spans="1:1" x14ac:dyDescent="0.3">
      <c r="A3" t="s">
        <v>50</v>
      </c>
    </row>
    <row r="4" spans="1:1" x14ac:dyDescent="0.3">
      <c r="A4" t="s">
        <v>51</v>
      </c>
    </row>
    <row r="5" spans="1:1" x14ac:dyDescent="0.3">
      <c r="A5" t="s">
        <v>54</v>
      </c>
    </row>
    <row r="6" spans="1:1" x14ac:dyDescent="0.3">
      <c r="A6" t="s">
        <v>53</v>
      </c>
    </row>
    <row r="7" spans="1:1" x14ac:dyDescent="0.3">
      <c r="A7"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Pivot_Chart</vt:lpstr>
      <vt:lpstr>Pivot_Table</vt:lpstr>
      <vt:lpstr>Pivot_Donut</vt:lpstr>
      <vt:lpstr>Dashboard</vt:lpstr>
      <vt:lpstr>Data</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SHIKHARA BANDARI</dc:creator>
  <cp:lastModifiedBy>SHIKHARA BANDARI</cp:lastModifiedBy>
  <dcterms:created xsi:type="dcterms:W3CDTF">2015-06-05T18:17:20Z</dcterms:created>
  <dcterms:modified xsi:type="dcterms:W3CDTF">2025-12-18T15:42:46Z</dcterms:modified>
</cp:coreProperties>
</file>